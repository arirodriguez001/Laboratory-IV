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<sst xmlns="http://schemas.openxmlformats.org/spreadsheetml/2006/main" count="46" uniqueCount="20">
  <si>
    <t>Voltaje entrada(mVrms)</t>
  </si>
  <si>
    <t>Voltaje salida(uVrms)</t>
  </si>
  <si>
    <t>Tita(grados)</t>
  </si>
  <si>
    <t>Sensit</t>
  </si>
  <si>
    <t>Time constant(ms)</t>
  </si>
  <si>
    <t>Filtro</t>
  </si>
  <si>
    <t>error V_in(mVrms)</t>
  </si>
  <si>
    <t>error V_out(uVrms)</t>
  </si>
  <si>
    <t>10uV</t>
  </si>
  <si>
    <t>300ms</t>
  </si>
  <si>
    <t>6dB</t>
  </si>
  <si>
    <t>50uV</t>
  </si>
  <si>
    <t>100uV</t>
  </si>
  <si>
    <t>200uV</t>
  </si>
  <si>
    <t>500uV</t>
  </si>
  <si>
    <t>Frecuencia</t>
  </si>
  <si>
    <t>X</t>
  </si>
  <si>
    <t>Y</t>
  </si>
  <si>
    <t>R</t>
  </si>
  <si>
    <t>Theta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</si>
</sst>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3" width="17.0"/>
    <col customWidth="1" min="7" max="7" width="14.63"/>
    <col customWidth="1" min="8" max="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10.0</v>
      </c>
      <c r="B2" s="1">
        <v>7.354</v>
      </c>
      <c r="C2" s="1">
        <v>31.52</v>
      </c>
      <c r="D2" s="1" t="s">
        <v>8</v>
      </c>
      <c r="E2" s="1" t="s">
        <v>9</v>
      </c>
      <c r="F2" s="1" t="s">
        <v>10</v>
      </c>
      <c r="G2" s="1">
        <f t="shared" ref="G2:G12" si="1">0.01*A2+(1/2.82)</f>
        <v>0.4546099291</v>
      </c>
      <c r="H2" s="2">
        <f t="shared" ref="H2:H12" si="2">0.01*B2</f>
        <v>0.07354</v>
      </c>
    </row>
    <row r="3">
      <c r="A3" s="1">
        <v>50.0</v>
      </c>
      <c r="B3" s="1">
        <v>27.21</v>
      </c>
      <c r="C3" s="1">
        <v>31.9</v>
      </c>
      <c r="D3" s="1" t="s">
        <v>11</v>
      </c>
      <c r="E3" s="1" t="s">
        <v>9</v>
      </c>
      <c r="F3" s="1" t="s">
        <v>10</v>
      </c>
      <c r="G3" s="2">
        <f t="shared" si="1"/>
        <v>0.8546099291</v>
      </c>
      <c r="H3" s="2">
        <f t="shared" si="2"/>
        <v>0.2721</v>
      </c>
    </row>
    <row r="4">
      <c r="A4" s="1">
        <v>100.0</v>
      </c>
      <c r="B4" s="1">
        <v>45.46</v>
      </c>
      <c r="C4" s="1">
        <v>52.94</v>
      </c>
      <c r="D4" s="1" t="s">
        <v>12</v>
      </c>
      <c r="E4" s="1" t="s">
        <v>9</v>
      </c>
      <c r="F4" s="1" t="s">
        <v>10</v>
      </c>
      <c r="G4" s="2">
        <f t="shared" si="1"/>
        <v>1.354609929</v>
      </c>
      <c r="H4" s="2">
        <f t="shared" si="2"/>
        <v>0.4546</v>
      </c>
    </row>
    <row r="5">
      <c r="A5" s="1">
        <v>150.0</v>
      </c>
      <c r="B5" s="1">
        <v>74.15</v>
      </c>
      <c r="C5" s="1">
        <v>50.21</v>
      </c>
      <c r="D5" s="1" t="s">
        <v>12</v>
      </c>
      <c r="E5" s="1" t="s">
        <v>9</v>
      </c>
      <c r="F5" s="1" t="s">
        <v>10</v>
      </c>
      <c r="G5" s="2">
        <f t="shared" si="1"/>
        <v>1.854609929</v>
      </c>
      <c r="H5" s="2">
        <f t="shared" si="2"/>
        <v>0.7415</v>
      </c>
    </row>
    <row r="6">
      <c r="A6" s="1">
        <v>200.0</v>
      </c>
      <c r="B6" s="1">
        <v>101.75</v>
      </c>
      <c r="C6" s="1">
        <v>48.49</v>
      </c>
      <c r="D6" s="1" t="s">
        <v>13</v>
      </c>
      <c r="E6" s="1" t="s">
        <v>9</v>
      </c>
      <c r="F6" s="1" t="s">
        <v>10</v>
      </c>
      <c r="G6" s="2">
        <f t="shared" si="1"/>
        <v>2.354609929</v>
      </c>
      <c r="H6" s="2">
        <f t="shared" si="2"/>
        <v>1.0175</v>
      </c>
    </row>
    <row r="7">
      <c r="A7" s="1">
        <v>250.0</v>
      </c>
      <c r="B7" s="1">
        <v>151.74</v>
      </c>
      <c r="C7" s="1">
        <v>40.91</v>
      </c>
      <c r="D7" s="1" t="s">
        <v>13</v>
      </c>
      <c r="E7" s="1" t="s">
        <v>9</v>
      </c>
      <c r="F7" s="1" t="s">
        <v>10</v>
      </c>
      <c r="G7" s="2">
        <f t="shared" si="1"/>
        <v>2.854609929</v>
      </c>
      <c r="H7" s="2">
        <f t="shared" si="2"/>
        <v>1.5174</v>
      </c>
    </row>
    <row r="8">
      <c r="A8" s="1">
        <v>300.0</v>
      </c>
      <c r="B8" s="1">
        <v>162.88</v>
      </c>
      <c r="C8" s="1">
        <v>45.77</v>
      </c>
      <c r="D8" s="1" t="s">
        <v>13</v>
      </c>
      <c r="E8" s="1" t="s">
        <v>9</v>
      </c>
      <c r="F8" s="1" t="s">
        <v>10</v>
      </c>
      <c r="G8" s="2">
        <f t="shared" si="1"/>
        <v>3.354609929</v>
      </c>
      <c r="H8" s="2">
        <f t="shared" si="2"/>
        <v>1.6288</v>
      </c>
    </row>
    <row r="9">
      <c r="A9" s="1">
        <v>350.0</v>
      </c>
      <c r="B9" s="1">
        <v>184.39</v>
      </c>
      <c r="C9" s="1">
        <v>47.7</v>
      </c>
      <c r="D9" s="1" t="s">
        <v>13</v>
      </c>
      <c r="E9" s="1" t="s">
        <v>9</v>
      </c>
      <c r="F9" s="1" t="s">
        <v>10</v>
      </c>
      <c r="G9" s="2">
        <f t="shared" si="1"/>
        <v>3.854609929</v>
      </c>
      <c r="H9" s="2">
        <f t="shared" si="2"/>
        <v>1.8439</v>
      </c>
    </row>
    <row r="10">
      <c r="A10" s="1">
        <v>400.0</v>
      </c>
      <c r="B10" s="1">
        <v>204.6</v>
      </c>
      <c r="C10" s="1">
        <v>49.55</v>
      </c>
      <c r="D10" s="1" t="s">
        <v>13</v>
      </c>
      <c r="E10" s="1" t="s">
        <v>9</v>
      </c>
      <c r="F10" s="1" t="s">
        <v>10</v>
      </c>
      <c r="G10" s="2">
        <f t="shared" si="1"/>
        <v>4.354609929</v>
      </c>
      <c r="H10" s="2">
        <f t="shared" si="2"/>
        <v>2.046</v>
      </c>
    </row>
    <row r="11">
      <c r="A11" s="1">
        <v>450.0</v>
      </c>
      <c r="B11" s="1">
        <v>290.9</v>
      </c>
      <c r="C11" s="1">
        <v>39.11</v>
      </c>
      <c r="D11" s="1" t="s">
        <v>14</v>
      </c>
      <c r="E11" s="1" t="s">
        <v>9</v>
      </c>
      <c r="F11" s="1" t="s">
        <v>10</v>
      </c>
      <c r="G11" s="2">
        <f t="shared" si="1"/>
        <v>4.854609929</v>
      </c>
      <c r="H11" s="2">
        <f t="shared" si="2"/>
        <v>2.909</v>
      </c>
    </row>
    <row r="12">
      <c r="A12" s="1">
        <v>500.0</v>
      </c>
      <c r="B12" s="1">
        <v>308.6</v>
      </c>
      <c r="C12" s="1">
        <v>40.26</v>
      </c>
      <c r="D12" s="1" t="s">
        <v>13</v>
      </c>
      <c r="E12" s="1" t="s">
        <v>9</v>
      </c>
      <c r="F12" s="1" t="s">
        <v>10</v>
      </c>
      <c r="G12" s="2">
        <f t="shared" si="1"/>
        <v>5.354609929</v>
      </c>
      <c r="H12" s="2">
        <f t="shared" si="2"/>
        <v>3.086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3">
        <v>500.0</v>
      </c>
      <c r="B2" s="3">
        <v>1.49667999999999E-4</v>
      </c>
      <c r="C2" s="3">
        <v>3.82217999999999E-6</v>
      </c>
      <c r="D2" s="3">
        <v>1.49757999999999E-4</v>
      </c>
      <c r="E2" s="3">
        <v>1.302</v>
      </c>
    </row>
    <row r="3">
      <c r="A3" s="3">
        <v>1510.20408163265</v>
      </c>
      <c r="B3" s="3">
        <v>1.46508999999999E-4</v>
      </c>
      <c r="C3" s="3">
        <v>1.2599E-5</v>
      </c>
      <c r="D3" s="3">
        <v>1.47113E-4</v>
      </c>
      <c r="E3" s="3">
        <v>4.926</v>
      </c>
    </row>
    <row r="4">
      <c r="A4" s="3">
        <v>2520.4081632653</v>
      </c>
      <c r="B4" s="3">
        <v>1.44847999999999E-4</v>
      </c>
      <c r="C4" s="3">
        <v>2.19421E-5</v>
      </c>
      <c r="D4" s="3">
        <v>1.46412E-4</v>
      </c>
      <c r="E4" s="3">
        <v>8.586</v>
      </c>
    </row>
    <row r="5">
      <c r="A5" s="3">
        <v>3530.61224489795</v>
      </c>
      <c r="B5" s="3">
        <v>1.42738999999999E-4</v>
      </c>
      <c r="C5" s="3">
        <v>3.07413E-5</v>
      </c>
      <c r="D5" s="3">
        <v>1.45987999999999E-4</v>
      </c>
      <c r="E5" s="3">
        <v>12.156</v>
      </c>
    </row>
    <row r="6">
      <c r="A6" s="3">
        <v>4540.81632653061</v>
      </c>
      <c r="B6" s="3">
        <v>1.40683E-4</v>
      </c>
      <c r="C6" s="3">
        <v>4.01215999999999E-5</v>
      </c>
      <c r="D6" s="3">
        <v>1.46240999999999E-4</v>
      </c>
      <c r="E6" s="3">
        <v>15.9239999999999</v>
      </c>
    </row>
    <row r="7">
      <c r="A7" s="3">
        <v>5551.02040816326</v>
      </c>
      <c r="B7" s="3">
        <v>1.38731E-4</v>
      </c>
      <c r="C7" s="3">
        <v>4.95242E-5</v>
      </c>
      <c r="D7" s="3">
        <v>1.47359E-4</v>
      </c>
      <c r="E7" s="3">
        <v>19.6499999999999</v>
      </c>
    </row>
    <row r="8">
      <c r="A8" s="3">
        <v>6561.22448979591</v>
      </c>
      <c r="B8" s="3">
        <v>1.37002E-4</v>
      </c>
      <c r="C8" s="3">
        <v>5.96049E-5</v>
      </c>
      <c r="D8" s="3">
        <v>1.49392999999999E-4</v>
      </c>
      <c r="E8" s="3">
        <v>23.5079999999999</v>
      </c>
    </row>
    <row r="9">
      <c r="A9" s="3">
        <v>7571.42857142857</v>
      </c>
      <c r="B9" s="3">
        <v>1.33470999999999E-4</v>
      </c>
      <c r="C9" s="3">
        <v>7.01476999999999E-5</v>
      </c>
      <c r="D9" s="3">
        <v>1.50778E-4</v>
      </c>
      <c r="E9" s="3">
        <v>27.7259999999999</v>
      </c>
    </row>
    <row r="10">
      <c r="A10" s="3">
        <v>8581.63265306122</v>
      </c>
      <c r="B10" s="3">
        <v>1.30340999999999E-4</v>
      </c>
      <c r="C10" s="3">
        <v>8.08094999999999E-5</v>
      </c>
      <c r="D10" s="3">
        <v>1.53341E-4</v>
      </c>
      <c r="E10" s="3">
        <v>31.8</v>
      </c>
    </row>
    <row r="11">
      <c r="A11" s="3">
        <v>9591.83673469387</v>
      </c>
      <c r="B11" s="3">
        <v>1.27316E-4</v>
      </c>
      <c r="C11" s="3">
        <v>9.15905E-5</v>
      </c>
      <c r="D11" s="3">
        <v>1.56813E-4</v>
      </c>
      <c r="E11" s="3">
        <v>35.7359999999999</v>
      </c>
    </row>
    <row r="12">
      <c r="A12" s="3">
        <v>10602.0408163265</v>
      </c>
      <c r="B12" s="3">
        <v>1.25036999999999E-4</v>
      </c>
      <c r="C12" s="3">
        <v>1.02558E-4</v>
      </c>
      <c r="D12" s="3">
        <v>1.61738E-4</v>
      </c>
      <c r="E12" s="3">
        <v>39.3479999999999</v>
      </c>
    </row>
    <row r="13">
      <c r="A13" s="3">
        <v>11612.2448979591</v>
      </c>
      <c r="B13" s="3">
        <v>1.22444E-4</v>
      </c>
      <c r="C13" s="3">
        <v>1.13838E-4</v>
      </c>
      <c r="D13" s="3">
        <v>1.67207E-4</v>
      </c>
      <c r="E13" s="3">
        <v>42.9179999999999</v>
      </c>
    </row>
    <row r="14">
      <c r="A14" s="3">
        <v>12622.4489795918</v>
      </c>
      <c r="B14" s="3">
        <v>1.19865E-4</v>
      </c>
      <c r="C14" s="3">
        <v>1.25253E-4</v>
      </c>
      <c r="D14" s="3">
        <v>1.73360999999999E-4</v>
      </c>
      <c r="E14" s="3">
        <v>46.2539999999999</v>
      </c>
    </row>
    <row r="15">
      <c r="A15" s="3">
        <v>13632.6530612244</v>
      </c>
      <c r="B15" s="3">
        <v>1.17808999999999E-4</v>
      </c>
      <c r="C15" s="3">
        <v>1.36658999999999E-4</v>
      </c>
      <c r="D15" s="3">
        <v>1.80423999999999E-4</v>
      </c>
      <c r="E15" s="3">
        <v>49.2359999999999</v>
      </c>
    </row>
    <row r="16">
      <c r="A16" s="3">
        <v>14642.8571428571</v>
      </c>
      <c r="B16" s="3">
        <v>1.15075E-4</v>
      </c>
      <c r="C16" s="3">
        <v>1.48528E-4</v>
      </c>
      <c r="D16" s="3">
        <v>1.87918999999999E-4</v>
      </c>
      <c r="E16" s="3">
        <v>52.2299999999999</v>
      </c>
    </row>
    <row r="17">
      <c r="A17" s="3">
        <v>15653.0612244897</v>
      </c>
      <c r="B17" s="3">
        <v>1.12697999999999E-4</v>
      </c>
      <c r="C17" s="3">
        <v>1.60397E-4</v>
      </c>
      <c r="D17" s="3">
        <v>1.96078E-4</v>
      </c>
      <c r="E17" s="3">
        <v>54.9179999999999</v>
      </c>
    </row>
    <row r="18">
      <c r="A18" s="3">
        <v>16663.2653061224</v>
      </c>
      <c r="B18" s="3">
        <v>1.10447999999999E-4</v>
      </c>
      <c r="C18" s="3">
        <v>1.72496999999999E-4</v>
      </c>
      <c r="D18" s="3">
        <v>2.04801999999999E-4</v>
      </c>
      <c r="E18" s="3">
        <v>57.3659999999999</v>
      </c>
    </row>
    <row r="19">
      <c r="A19" s="3">
        <v>17673.469387755</v>
      </c>
      <c r="B19" s="3">
        <v>1.07885E-4</v>
      </c>
      <c r="C19" s="3">
        <v>1.84715999999999E-4</v>
      </c>
      <c r="D19" s="3">
        <v>2.13952E-4</v>
      </c>
      <c r="E19" s="3">
        <v>59.712</v>
      </c>
    </row>
    <row r="20">
      <c r="A20" s="3">
        <v>18683.6734693877</v>
      </c>
      <c r="B20" s="3">
        <v>1.05619999999999E-4</v>
      </c>
      <c r="C20" s="3">
        <v>1.96963999999999E-4</v>
      </c>
      <c r="D20" s="3">
        <v>2.23458999999999E-4</v>
      </c>
      <c r="E20" s="3">
        <v>61.7999999999999</v>
      </c>
    </row>
    <row r="21">
      <c r="A21" s="3">
        <v>19693.8775510204</v>
      </c>
      <c r="B21" s="3">
        <v>1.02818E-4</v>
      </c>
      <c r="C21" s="3">
        <v>2.09838999999999E-4</v>
      </c>
      <c r="D21" s="3">
        <v>2.33591999999999E-4</v>
      </c>
      <c r="E21" s="3">
        <v>63.9059999999999</v>
      </c>
    </row>
    <row r="22">
      <c r="A22" s="3">
        <v>20704.081632653</v>
      </c>
      <c r="B22" s="3">
        <v>1.00105999999999E-4</v>
      </c>
      <c r="C22" s="3">
        <v>2.22176999999999E-4</v>
      </c>
      <c r="D22" s="3">
        <v>2.43903E-4</v>
      </c>
      <c r="E22" s="3">
        <v>65.724</v>
      </c>
    </row>
    <row r="23">
      <c r="A23" s="3">
        <v>21714.2857142857</v>
      </c>
      <c r="B23" s="3">
        <v>9.7007E-5</v>
      </c>
      <c r="C23" s="3">
        <v>2.35648E-4</v>
      </c>
      <c r="D23" s="3">
        <v>2.54782E-4</v>
      </c>
      <c r="E23" s="3">
        <v>67.62</v>
      </c>
    </row>
    <row r="24">
      <c r="A24" s="3">
        <v>22724.4897959183</v>
      </c>
      <c r="B24" s="3">
        <v>9.49209E-5</v>
      </c>
      <c r="C24" s="3">
        <v>2.48792E-4</v>
      </c>
      <c r="D24" s="3">
        <v>2.66314999999999E-4</v>
      </c>
      <c r="E24" s="3">
        <v>69.114</v>
      </c>
    </row>
    <row r="25">
      <c r="A25" s="3">
        <v>23734.693877551</v>
      </c>
      <c r="B25" s="3">
        <v>9.26260999999999E-5</v>
      </c>
      <c r="C25" s="3">
        <v>2.62530999999999E-4</v>
      </c>
      <c r="D25" s="3">
        <v>2.78326E-4</v>
      </c>
      <c r="E25" s="3">
        <v>70.578</v>
      </c>
    </row>
    <row r="26">
      <c r="A26" s="3">
        <v>24744.8979591836</v>
      </c>
      <c r="B26" s="3">
        <v>9.06590999999999E-5</v>
      </c>
      <c r="C26" s="3">
        <v>2.7624E-4</v>
      </c>
      <c r="D26" s="3">
        <v>2.90724E-4</v>
      </c>
      <c r="E26" s="3">
        <v>71.8319999999999</v>
      </c>
    </row>
    <row r="27">
      <c r="A27" s="3">
        <v>25755.1020408163</v>
      </c>
      <c r="B27" s="3">
        <v>9.05994999999999E-5</v>
      </c>
      <c r="C27" s="3">
        <v>2.89113999999999E-4</v>
      </c>
      <c r="D27" s="3">
        <v>3.02912999999999E-4</v>
      </c>
      <c r="E27" s="3">
        <v>72.5939999999999</v>
      </c>
    </row>
    <row r="28">
      <c r="A28" s="3">
        <v>26765.3061224489</v>
      </c>
      <c r="B28" s="3">
        <v>8.88709999999999E-5</v>
      </c>
      <c r="C28" s="3">
        <v>3.02345999999999E-4</v>
      </c>
      <c r="D28" s="3">
        <v>3.15072E-4</v>
      </c>
      <c r="E28" s="3">
        <v>73.536</v>
      </c>
    </row>
    <row r="29">
      <c r="A29" s="3">
        <v>27775.5102040816</v>
      </c>
      <c r="B29" s="3">
        <v>8.79470999999999E-5</v>
      </c>
      <c r="C29" s="3">
        <v>3.16026E-4</v>
      </c>
      <c r="D29" s="3">
        <v>3.28095999999999E-4</v>
      </c>
      <c r="E29" s="3">
        <v>74.4419999999999</v>
      </c>
    </row>
    <row r="30">
      <c r="A30" s="3">
        <v>28785.7142857142</v>
      </c>
      <c r="B30" s="3">
        <v>9.20002E-5</v>
      </c>
      <c r="C30" s="3">
        <v>3.25294E-4</v>
      </c>
      <c r="D30" s="3">
        <v>3.3802E-4</v>
      </c>
      <c r="E30" s="3">
        <v>74.2139999999999</v>
      </c>
    </row>
    <row r="31">
      <c r="A31" s="3">
        <v>29795.9183673469</v>
      </c>
      <c r="B31" s="3">
        <v>9.03014999999999E-5</v>
      </c>
      <c r="C31" s="3">
        <v>3.38973E-4</v>
      </c>
      <c r="D31" s="3">
        <v>3.50804999999999E-4</v>
      </c>
      <c r="E31" s="3">
        <v>75.084</v>
      </c>
    </row>
    <row r="32">
      <c r="A32" s="3">
        <v>30806.1224489795</v>
      </c>
      <c r="B32" s="3">
        <v>8.91392E-5</v>
      </c>
      <c r="C32" s="3">
        <v>3.52146E-4</v>
      </c>
      <c r="D32" s="3">
        <v>3.63261999999999E-4</v>
      </c>
      <c r="E32" s="3">
        <v>75.798</v>
      </c>
    </row>
    <row r="33">
      <c r="A33" s="3">
        <v>31816.3265306122</v>
      </c>
      <c r="B33" s="3">
        <v>8.83941999999999E-5</v>
      </c>
      <c r="C33" s="3">
        <v>3.6517E-4</v>
      </c>
      <c r="D33" s="3">
        <v>3.7572E-4</v>
      </c>
      <c r="E33" s="3">
        <v>76.3919999999999</v>
      </c>
    </row>
    <row r="34">
      <c r="A34" s="3">
        <v>32826.5306122448</v>
      </c>
      <c r="B34" s="3">
        <v>8.69933999999999E-5</v>
      </c>
      <c r="C34" s="3">
        <v>3.7867E-4</v>
      </c>
      <c r="D34" s="3">
        <v>3.88535E-4</v>
      </c>
      <c r="E34" s="3">
        <v>77.058</v>
      </c>
    </row>
    <row r="35">
      <c r="A35" s="3">
        <v>33836.7346938775</v>
      </c>
      <c r="B35" s="3">
        <v>8.55331E-5</v>
      </c>
      <c r="C35" s="3">
        <v>3.92289999999999E-4</v>
      </c>
      <c r="D35" s="3">
        <v>4.01498999999999E-4</v>
      </c>
      <c r="E35" s="3">
        <v>77.694</v>
      </c>
    </row>
    <row r="36">
      <c r="A36" s="3">
        <v>34846.9387755101</v>
      </c>
      <c r="B36" s="3">
        <v>8.46987E-5</v>
      </c>
      <c r="C36" s="3">
        <v>4.05433E-4</v>
      </c>
      <c r="D36" s="3">
        <v>4.14164999999999E-4</v>
      </c>
      <c r="E36" s="3">
        <v>78.1979999999999</v>
      </c>
    </row>
    <row r="37">
      <c r="A37" s="3">
        <v>35857.1428571428</v>
      </c>
      <c r="B37" s="3">
        <v>8.35662E-5</v>
      </c>
      <c r="C37" s="3">
        <v>4.18963E-4</v>
      </c>
      <c r="D37" s="3">
        <v>4.27188E-4</v>
      </c>
      <c r="E37" s="3">
        <v>78.7199999999999</v>
      </c>
    </row>
    <row r="38">
      <c r="A38" s="3">
        <v>36867.3469387755</v>
      </c>
      <c r="B38" s="3">
        <v>8.24038999999999E-5</v>
      </c>
      <c r="C38" s="3">
        <v>4.32463E-4</v>
      </c>
      <c r="D38" s="3">
        <v>4.40272E-4</v>
      </c>
      <c r="E38" s="3">
        <v>79.206</v>
      </c>
    </row>
    <row r="39">
      <c r="A39" s="3">
        <v>37877.5510204081</v>
      </c>
      <c r="B39" s="3">
        <v>8.13012E-5</v>
      </c>
      <c r="C39" s="3">
        <v>4.46171999999999E-4</v>
      </c>
      <c r="D39" s="3">
        <v>4.53503999999999E-4</v>
      </c>
      <c r="E39" s="3">
        <v>79.668</v>
      </c>
    </row>
    <row r="40">
      <c r="A40" s="3">
        <v>38887.7551020408</v>
      </c>
      <c r="B40" s="3">
        <v>8.04667E-5</v>
      </c>
      <c r="C40" s="3">
        <v>4.59583E-4</v>
      </c>
      <c r="D40" s="3">
        <v>4.66617E-4</v>
      </c>
      <c r="E40" s="3">
        <v>80.0699999999999</v>
      </c>
    </row>
    <row r="41">
      <c r="A41" s="3">
        <v>39897.9591836734</v>
      </c>
      <c r="B41" s="3">
        <v>7.96024999999999E-5</v>
      </c>
      <c r="C41" s="3">
        <v>4.73114E-4</v>
      </c>
      <c r="D41" s="3">
        <v>4.79729999999999E-4</v>
      </c>
      <c r="E41" s="3">
        <v>80.4479999999999</v>
      </c>
    </row>
    <row r="42">
      <c r="A42" s="3">
        <v>40908.1632653061</v>
      </c>
      <c r="B42" s="3">
        <v>7.8768E-5</v>
      </c>
      <c r="C42" s="3">
        <v>4.86435E-4</v>
      </c>
      <c r="D42" s="3">
        <v>4.92785E-4</v>
      </c>
      <c r="E42" s="3">
        <v>80.796</v>
      </c>
    </row>
    <row r="43">
      <c r="A43" s="3">
        <v>41918.3673469387</v>
      </c>
      <c r="B43" s="3">
        <v>7.80826E-5</v>
      </c>
      <c r="C43" s="3">
        <v>4.99848E-4</v>
      </c>
      <c r="D43" s="3">
        <v>5.05927999999999E-4</v>
      </c>
      <c r="E43" s="3">
        <v>81.12</v>
      </c>
    </row>
    <row r="44">
      <c r="A44" s="3">
        <v>42928.5714285714</v>
      </c>
      <c r="B44" s="3">
        <v>7.73077E-5</v>
      </c>
      <c r="C44" s="3">
        <v>5.13258999999999E-4</v>
      </c>
      <c r="D44" s="3">
        <v>5.19101E-4</v>
      </c>
      <c r="E44" s="3">
        <v>81.426</v>
      </c>
    </row>
    <row r="45">
      <c r="A45" s="3">
        <v>43938.775510204</v>
      </c>
      <c r="B45" s="3">
        <v>7.64731999999999E-5</v>
      </c>
      <c r="C45" s="3">
        <v>5.26849E-4</v>
      </c>
      <c r="D45" s="3">
        <v>5.32392E-4</v>
      </c>
      <c r="E45" s="3">
        <v>81.7379999999999</v>
      </c>
    </row>
    <row r="46">
      <c r="A46" s="3">
        <v>44948.9795918367</v>
      </c>
      <c r="B46" s="3">
        <v>7.59963999999999E-5</v>
      </c>
      <c r="C46" s="3">
        <v>5.40201E-4</v>
      </c>
      <c r="D46" s="3">
        <v>5.45504999999999E-4</v>
      </c>
      <c r="E46" s="3">
        <v>81.9899999999999</v>
      </c>
    </row>
    <row r="47">
      <c r="A47" s="3">
        <v>45959.1836734693</v>
      </c>
      <c r="B47" s="3">
        <v>7.51619E-5</v>
      </c>
      <c r="C47" s="3">
        <v>5.53611999999999E-4</v>
      </c>
      <c r="D47" s="3">
        <v>5.58677999999999E-4</v>
      </c>
      <c r="E47" s="3">
        <v>82.266</v>
      </c>
    </row>
    <row r="48">
      <c r="A48" s="3">
        <v>46969.387755102</v>
      </c>
      <c r="B48" s="3">
        <v>7.47446999999999E-5</v>
      </c>
      <c r="C48" s="3">
        <v>5.67202E-4</v>
      </c>
      <c r="D48" s="3">
        <v>5.72089E-4</v>
      </c>
      <c r="E48" s="3">
        <v>82.4879999999999</v>
      </c>
    </row>
    <row r="49">
      <c r="A49" s="3">
        <v>47979.5918367346</v>
      </c>
      <c r="B49" s="3">
        <v>7.39102E-5</v>
      </c>
      <c r="C49" s="3">
        <v>5.80553E-4</v>
      </c>
      <c r="D49" s="3">
        <v>5.85142999999999E-4</v>
      </c>
      <c r="E49" s="3">
        <v>82.7399999999999</v>
      </c>
    </row>
    <row r="50">
      <c r="A50" s="3">
        <v>48989.7959183673</v>
      </c>
      <c r="B50" s="3">
        <v>7.34929999999999E-5</v>
      </c>
      <c r="C50" s="3">
        <v>5.94023999999999E-4</v>
      </c>
      <c r="D50" s="3">
        <v>5.98493999999999E-4</v>
      </c>
      <c r="E50" s="3">
        <v>82.95</v>
      </c>
    </row>
    <row r="51">
      <c r="A51" s="3">
        <v>50000.0</v>
      </c>
      <c r="B51" s="3">
        <v>7.28373E-5</v>
      </c>
      <c r="C51" s="3">
        <v>6.07493999999999E-4</v>
      </c>
      <c r="D51" s="3">
        <v>6.11844999999999E-4</v>
      </c>
      <c r="E51" s="3">
        <v>83.1599999999999</v>
      </c>
    </row>
  </sheetData>
  <drawing r:id="rId1"/>
</worksheet>
</file>